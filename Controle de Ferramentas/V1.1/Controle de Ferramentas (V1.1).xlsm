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f6dea0513de8e622/Documentos/GitHub/VBA/Controle de Ferramentas/V1.1/"/>
    </mc:Choice>
  </mc:AlternateContent>
  <xr:revisionPtr revIDLastSave="6" documentId="8_{D96E6CC1-CCC2-459B-9A71-93E9A238026E}" xr6:coauthVersionLast="47" xr6:coauthVersionMax="47" xr10:uidLastSave="{DE88FA20-77FB-44C7-87BE-50DB4736B492}"/>
  <bookViews>
    <workbookView xWindow="-120" yWindow="-120" windowWidth="29040" windowHeight="16440" tabRatio="723" activeTab="1" xr2:uid="{00000000-000D-0000-FFFF-FFFF00000000}"/>
  </bookViews>
  <sheets>
    <sheet name="Resumo" sheetId="7" r:id="rId1"/>
    <sheet name="Saída" sheetId="1" r:id="rId2"/>
    <sheet name="Retorno" sheetId="6" r:id="rId3"/>
    <sheet name="Registros" sheetId="4" r:id="rId4"/>
    <sheet name="back" sheetId="8" state="hidden" r:id="rId5"/>
    <sheet name="Termo" sheetId="3" r:id="rId6"/>
    <sheet name="DadosEstoque" sheetId="2" r:id="rId7"/>
  </sheets>
  <definedNames>
    <definedName name="_xlnm.Print_Area" localSheetId="6">DadosEstoque!$A$1:$J$3</definedName>
    <definedName name="_xlnm.Print_Area" localSheetId="5">Termo!$A$1:$D$46</definedName>
    <definedName name="ListaColaboradores">Colaboradores[Colaborador]</definedName>
    <definedName name="ListaNomeFerramentas">Ferramentas[NomeFerramenta]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4" l="1"/>
  <c r="A2" i="8" a="1"/>
  <c r="A2" i="8" s="1"/>
  <c r="A3" i="1" l="1"/>
  <c r="C3" i="2"/>
  <c r="J3" i="4"/>
  <c r="A9" i="3"/>
  <c r="D1" i="3"/>
  <c r="A3" i="6"/>
  <c r="K3" i="4" l="1"/>
  <c r="A3" i="7" a="1"/>
  <c r="A46" i="3"/>
  <c r="A28" i="3" a="1"/>
  <c r="A28" i="3" s="1"/>
  <c r="A3" i="7" l="1"/>
  <c r="B3" i="7" s="1"/>
  <c r="C3" i="7" s="1"/>
  <c r="D3" i="7" l="1"/>
  <c r="E3" i="7"/>
  <c r="F3" i="7" l="1"/>
  <c r="I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<sst xmlns="http://schemas.openxmlformats.org/spreadsheetml/2006/main" count="69" uniqueCount="46">
  <si>
    <t>id</t>
  </si>
  <si>
    <t>Nome</t>
  </si>
  <si>
    <t>ESTOQUE</t>
  </si>
  <si>
    <t>DISPONÍVEL</t>
  </si>
  <si>
    <t>Saída de Ferramentas</t>
  </si>
  <si>
    <t>tipo</t>
  </si>
  <si>
    <t>Colaborador</t>
  </si>
  <si>
    <t>Ferramenta</t>
  </si>
  <si>
    <t>Qtdd</t>
  </si>
  <si>
    <t>Data Saída</t>
  </si>
  <si>
    <t>Hora Saída</t>
  </si>
  <si>
    <t>Obra</t>
  </si>
  <si>
    <t>Obs Saída</t>
  </si>
  <si>
    <t>Retorno de Ferramentas</t>
  </si>
  <si>
    <t>Data Retorno</t>
  </si>
  <si>
    <t>Hora Retorno</t>
  </si>
  <si>
    <t>Data</t>
  </si>
  <si>
    <t>Hora</t>
  </si>
  <si>
    <t>Obs</t>
  </si>
  <si>
    <t>qtdd_real</t>
  </si>
  <si>
    <t>Termo de Compromisso com a Ferramenta</t>
  </si>
  <si>
    <t>Equipamentos</t>
  </si>
  <si>
    <t>_________________________________________________________</t>
  </si>
  <si>
    <t>Status</t>
  </si>
  <si>
    <t>NomeFerramenta</t>
  </si>
  <si>
    <t>Descricao</t>
  </si>
  <si>
    <t>Marca</t>
  </si>
  <si>
    <t>Modelo/SKU</t>
  </si>
  <si>
    <t>Estado</t>
  </si>
  <si>
    <t>ValorUnt</t>
  </si>
  <si>
    <t>qtdd</t>
  </si>
  <si>
    <t>ReferenciaEntrada</t>
  </si>
  <si>
    <t>Nome Completo</t>
  </si>
  <si>
    <t>Disponível</t>
  </si>
  <si>
    <t>A verificar</t>
  </si>
  <si>
    <t>Gilvan</t>
  </si>
  <si>
    <t>Usado</t>
  </si>
  <si>
    <t>SAÍDA</t>
  </si>
  <si>
    <t>Rodrigo</t>
  </si>
  <si>
    <t>Parafusadeira c/ Bateria DeWALT D7781</t>
  </si>
  <si>
    <t>Alavanca</t>
  </si>
  <si>
    <t>de Aço 2 m</t>
  </si>
  <si>
    <t>DataModificacao</t>
  </si>
  <si>
    <t>, confirmo que recebi da LS Soluções Elétricas LTDA., a título de empréstimo, para meu uso exclusivo, conforme determinadona lei, os equipamentos especificados neste termo de responsabilidade, comprometendo-me a mantê-los em perfeito estado de conservação, ficando ciente de que:
1 – Se o equipamento for danificado ou inutilizado por emprego inadequado, mau uso, negligência ou extravio, a empresa me fornecerá novo equipamento e cobrará o valor de um equipamento da mesma marca ou equivalente ao da praça;
2 – Em caso de dano, inutilização ou extravio do equipamento deverei comunicar imediatamente ao setor competente;
3 – Terminando os serviços ou no caso de rescisão do contrato de trabalho, devolverei o equipamentocompleto e em perfeito estado de conservação, considerando-se o tempo do uso do mesmo, ao setor competente;
4 – Estando os equipamentos em minha posse, estarei sujeito a inspeções sem prévio aviso.</t>
  </si>
  <si>
    <t>RETIRADAS</t>
  </si>
  <si>
    <t>Ferrametas não listada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</si>
</sst>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&quot;R$&quot;\ #,##0.00"/>
    <numFmt numFmtId="165" formatCode="[$-416]d\-mmm;@"/>
    <numFmt numFmtId="166" formatCode="h:mm;@"/>
    <numFmt numFmtId="167" formatCode="[$-F400]h:mm:ss\ AM/PM"/>
  </numFmts>
  <fonts count="9" x14ac:knownFonts="1">
    <font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theme="2" tint="-0.749992370372631"/>
      </left>
      <right style="thin">
        <color theme="2" tint="-0.749992370372631"/>
      </right>
      <top style="thin">
        <color theme="2" tint="-0.749992370372631"/>
      </top>
      <bottom style="thin">
        <color indexed="64"/>
      </bottom>
      <diagonal/>
    </border>
    <border>
      <left style="thin">
        <color theme="2" tint="-0.749992370372631"/>
      </left>
      <right style="thin">
        <color theme="2" tint="-0.749992370372631"/>
      </right>
      <top style="thin">
        <color indexed="64"/>
      </top>
      <bottom style="thin">
        <color indexed="64"/>
      </bottom>
      <diagonal/>
    </border>
    <border>
      <left style="thin">
        <color theme="2" tint="-0.749992370372631"/>
      </left>
      <right style="thin">
        <color theme="2" tint="-0.749992370372631"/>
      </right>
      <top style="thin">
        <color indexed="64"/>
      </top>
      <bottom style="thin">
        <color theme="2" tint="-0.749992370372631"/>
      </bottom>
      <diagonal/>
    </border>
  </borders>
  <cellStyleXfs count="1">
    <xf numFmtId="0" fontId="0" fillId="0" borderId="0"/>
  </cellStyleXfs>
  <cellXfs count="27">
    <xf numFmtId="0" fontId="0" fillId="0" borderId="0" xfId="0"/>
    <xf numFmtId="49" fontId="0" fillId="0" borderId="0" xfId="0" applyNumberFormat="1"/>
    <xf numFmtId="164" fontId="0" fillId="0" borderId="0" xfId="0" applyNumberFormat="1"/>
    <xf numFmtId="1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" fillId="0" borderId="0" xfId="0" applyFont="1"/>
    <xf numFmtId="1" fontId="0" fillId="0" borderId="0" xfId="0" applyNumberFormat="1"/>
    <xf numFmtId="0" fontId="3" fillId="0" borderId="0" xfId="0" applyFont="1" applyAlignment="1">
      <alignment vertical="center"/>
    </xf>
    <xf numFmtId="14" fontId="2" fillId="0" borderId="0" xfId="0" applyNumberFormat="1" applyFont="1" applyAlignment="1">
      <alignment vertical="center"/>
    </xf>
    <xf numFmtId="167" fontId="0" fillId="0" borderId="0" xfId="0" applyNumberFormat="1"/>
    <xf numFmtId="0" fontId="5" fillId="0" borderId="0" xfId="0" applyFont="1" applyAlignment="1">
      <alignment vertical="top" wrapText="1"/>
    </xf>
    <xf numFmtId="0" fontId="6" fillId="0" borderId="0" xfId="0" applyFont="1"/>
    <xf numFmtId="0" fontId="0" fillId="2" borderId="0" xfId="0" applyFill="1"/>
    <xf numFmtId="0" fontId="8" fillId="0" borderId="0" xfId="0" applyFont="1"/>
    <xf numFmtId="0" fontId="5" fillId="0" borderId="0" xfId="0" applyFont="1" applyAlignment="1">
      <alignment horizontal="center" vertical="center"/>
    </xf>
    <xf numFmtId="4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2" fillId="0" borderId="0" xfId="0" applyFont="1" applyAlignment="1">
      <alignment horizontal="center"/>
    </xf>
    <xf numFmtId="14" fontId="6" fillId="0" borderId="1" xfId="0" applyNumberFormat="1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wrapText="1"/>
    </xf>
    <xf numFmtId="14" fontId="6" fillId="0" borderId="3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41">
    <dxf>
      <numFmt numFmtId="30" formatCode="@"/>
    </dxf>
    <dxf>
      <numFmt numFmtId="30" formatCode="@"/>
    </dxf>
    <dxf>
      <numFmt numFmtId="34" formatCode="_-&quot;R$&quot;\ * #,##0.00_-;\-&quot;R$&quot;\ * #,##0.00_-;_-&quot;R$&quot;\ * &quot;-&quot;??_-;_-@_-"/>
    </dxf>
    <dxf>
      <numFmt numFmtId="19" formatCode="dd/mm/yyyy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167" formatCode="[$-F400]h:mm:ss\ AM/PM"/>
    </dxf>
    <dxf>
      <numFmt numFmtId="19" formatCode="dd/mm/yyyy"/>
    </dxf>
    <dxf>
      <numFmt numFmtId="0" formatCode="General"/>
    </dxf>
    <dxf>
      <numFmt numFmtId="0" formatCode="General"/>
    </dxf>
    <dxf>
      <numFmt numFmtId="166" formatCode="h:mm;@"/>
    </dxf>
    <dxf>
      <numFmt numFmtId="165" formatCode="[$-416]d\-mmm;@"/>
    </dxf>
    <dxf>
      <numFmt numFmtId="1" formatCode="0"/>
    </dxf>
    <dxf>
      <numFmt numFmtId="30" formatCode="@"/>
    </dxf>
    <dxf>
      <font>
        <i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66" formatCode="h:mm;@"/>
    </dxf>
    <dxf>
      <numFmt numFmtId="165" formatCode="[$-416]d\-mmm;@"/>
    </dxf>
    <dxf>
      <numFmt numFmtId="1" formatCode="0"/>
    </dxf>
    <dxf>
      <numFmt numFmtId="30" formatCode="@"/>
    </dxf>
    <dxf>
      <font>
        <i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i/>
      </font>
      <numFmt numFmtId="0" formatCode="General"/>
    </dxf>
    <dxf>
      <font>
        <color rgb="FFC00000"/>
      </font>
      <fill>
        <patternFill>
          <bgColor rgb="FFFF7C80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171450</xdr:colOff>
      <xdr:row>0</xdr:row>
      <xdr:rowOff>85726</xdr:rowOff>
    </xdr:from>
    <xdr:to>
      <xdr:col>12</xdr:col>
      <xdr:colOff>104775</xdr:colOff>
      <xdr:row>1</xdr:row>
      <xdr:rowOff>114301</xdr:rowOff>
    </xdr:to>
    <xdr:sp macro="[0]!Transferir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A44AE3-45E4-4ED7-BF22-958FB961299E}"/>
            </a:ext>
          </a:extLst>
        </xdr:cNvPr>
        <xdr:cNvSpPr/>
      </xdr:nvSpPr>
      <xdr:spPr>
        <a:xfrm>
          <a:off x="9934575" y="85726"/>
          <a:ext cx="1457325" cy="361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i="1"/>
            <a:t>Atualizar Registros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552451</xdr:colOff>
      <xdr:row>0</xdr:row>
      <xdr:rowOff>95250</xdr:rowOff>
    </xdr:from>
    <xdr:to>
      <xdr:col>11</xdr:col>
      <xdr:colOff>323851</xdr:colOff>
      <xdr:row>1</xdr:row>
      <xdr:rowOff>57150</xdr:rowOff>
    </xdr:to>
    <xdr:sp macro="[0]!Transferir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DCEB1CB-0EE1-4517-B531-0F4A07C202D6}"/>
            </a:ext>
          </a:extLst>
        </xdr:cNvPr>
        <xdr:cNvSpPr/>
      </xdr:nvSpPr>
      <xdr:spPr>
        <a:xfrm>
          <a:off x="7820026" y="95250"/>
          <a:ext cx="1657350" cy="295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i="1"/>
            <a:t>Atualizar</a:t>
          </a:r>
          <a:r>
            <a:rPr lang="pt-BR" sz="1100" b="1" i="1" baseline="0"/>
            <a:t> Registros</a:t>
          </a:r>
          <a:endParaRPr lang="pt-BR" sz="1100" b="1" i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0</xdr:col>
      <xdr:colOff>1692088</xdr:colOff>
      <xdr:row>4</xdr:row>
      <xdr:rowOff>285750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D25BA06A-B1CC-6BB5-5D07-8C5D4820EC30}"/>
            </a:ext>
          </a:extLst>
        </xdr:cNvPr>
        <xdr:cNvSpPr txBox="1"/>
      </xdr:nvSpPr>
      <xdr:spPr>
        <a:xfrm>
          <a:off x="1" y="0"/>
          <a:ext cx="1692087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 i="1"/>
            <a:t>LS Soluções</a:t>
          </a:r>
        </a:p>
        <a:p>
          <a:pPr algn="ctr"/>
          <a:r>
            <a:rPr lang="pt-BR" sz="1400" b="1" i="1"/>
            <a:t>Elétricas</a:t>
          </a:r>
          <a:r>
            <a:rPr lang="pt-BR" sz="1400" b="1" i="1" baseline="0"/>
            <a:t> </a:t>
          </a:r>
          <a:r>
            <a:rPr lang="pt-BR" sz="1400" b="1" i="1"/>
            <a:t>CNPJ:</a:t>
          </a:r>
        </a:p>
        <a:p>
          <a:pPr algn="ctr"/>
          <a:r>
            <a:rPr lang="pt-BR" sz="1400" b="1" i="1" baseline="0"/>
            <a:t>51.071.426/0001-77</a:t>
          </a:r>
          <a:endParaRPr lang="pt-BR" sz="1400" b="1" i="1"/>
        </a:p>
      </xdr:txBody>
    </xdr:sp>
    <xdr:clientData/>
  </xdr:twoCellAnchor>
  <xdr:twoCellAnchor>
    <xdr:from>
      <xdr:col>0</xdr:col>
      <xdr:colOff>1680883</xdr:colOff>
      <xdr:row>0</xdr:row>
      <xdr:rowOff>11206</xdr:rowOff>
    </xdr:from>
    <xdr:to>
      <xdr:col>2</xdr:col>
      <xdr:colOff>775608</xdr:colOff>
      <xdr:row>4</xdr:row>
      <xdr:rowOff>285750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A5F1C8E2-69CF-43D9-B19C-9161DACED27D}"/>
            </a:ext>
          </a:extLst>
        </xdr:cNvPr>
        <xdr:cNvSpPr txBox="1"/>
      </xdr:nvSpPr>
      <xdr:spPr>
        <a:xfrm>
          <a:off x="1680883" y="11206"/>
          <a:ext cx="4197404" cy="103654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Contatos</a:t>
          </a:r>
          <a:endParaRPr lang="pt-BR" sz="1100" b="1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83 98748 4128 / lidiolssolueletrica@gmail.com (Lídio Serrano)</a:t>
          </a:r>
        </a:p>
        <a:p>
          <a:pPr algn="ctr"/>
          <a:r>
            <a:rPr lang="pt-BR" sz="1100" b="1" i="1"/>
            <a:t>83 98765 9618 / danilssolueletrica@gmail.com (Danielle Rodrigues)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C80E7E-A7B2-4EC5-AB11-03EAD7AF44DA}" name="Tabela7" displayName="Tabela7" ref="B2:F3" totalsRowShown="0">
  <autoFilter ref="B2:F3" xr:uid="{76C80E7E-A7B2-4EC5-AB11-03EAD7AF44DA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C2ABDCD-BE7C-4920-97A8-F59F8693E3B7}" name="id">
      <calculatedColumnFormula>A3</calculatedColumnFormula>
    </tableColumn>
    <tableColumn id="2" xr3:uid="{C48A69E4-9CAE-4B43-B261-F3831EDA01C4}" name="Nome" dataDxfId="36">
      <calculatedColumnFormula>_xlfn.XLOOKUP(Tabela7[[#This Row],[id]],Ferramentas[id],Ferramentas[NomeFerramenta],"id não encontrado",0)</calculatedColumnFormula>
    </tableColumn>
    <tableColumn id="3" xr3:uid="{24B2BBF0-64EB-4B2E-A25D-722B3ADB930A}" name="ESTOQUE" dataDxfId="35">
      <calculatedColumnFormula>_xlfn.XLOOKUP(Tabela7[[#This Row],[id]],Ferramentas[id],Ferramentas[qtdd],"id não encontrado",0)</calculatedColumnFormula>
    </tableColumn>
    <tableColumn id="4" xr3:uid="{70CD9A28-D2E3-40FE-8B17-C902C26395FC}" name="SAÍDA" dataDxfId="34">
      <calculatedColumnFormula>SUMIF(Registros[Ferramenta],_xlfn.XLOOKUP(Tabela7[[#This Row],[id]],Ferramentas[id],Ferramentas[NomeFerramenta],"id não encontrado",0),Registros[qtdd_real])</calculatedColumnFormula>
    </tableColumn>
    <tableColumn id="5" xr3:uid="{3541A626-3D0C-412C-B661-D640053734A5}" name="DISPONÍVEL" dataDxfId="33">
      <calculatedColumnFormula>Tabela7[[#This Row],[ESTOQUE]]+Tabela7[[#This Row],[SAÍDA]]</calculatedColumnFormula>
    </tableColumn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197E08-6C9C-4079-B15E-FBDFF3245A86}" name="Saida" displayName="Saida" ref="A2:I3" totalsRowShown="0" headerRowDxfId="31">
  <autoFilter ref="A2:I3" xr:uid="{81197E08-6C9C-4079-B15E-FBDFF3245A8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7" xr3:uid="{9099422B-7B10-4B9E-99FE-F00271589468}" name="tipo">
      <calculatedColumnFormula>IF(Saida[[#This Row],[Colaborador]]="","","SAÍDA")</calculatedColumnFormula>
    </tableColumn>
    <tableColumn id="1" xr3:uid="{CF30AB58-3F93-479C-BB52-116622AB4892}" name="Colaborador"/>
    <tableColumn id="2" xr3:uid="{B311AE87-60E7-4760-9A72-65B6A63B0EB7}" name="Ferramenta" dataDxfId="30"/>
    <tableColumn id="12" xr3:uid="{CC816E45-FF6B-4021-ACFE-B80622017A8B}" name="Qtdd" dataDxfId="29"/>
    <tableColumn id="3" xr3:uid="{F72D5038-4655-41F3-9068-1561E18EFB5D}" name="Data Saída" dataDxfId="28"/>
    <tableColumn id="4" xr3:uid="{AB270A05-5F45-441C-81AB-D94BFF1154FD}" name="Hora Saída" dataDxfId="27"/>
    <tableColumn id="5" xr3:uid="{F30AFB6F-A685-4449-9693-E717A51A2C52}" name="Obra"/>
    <tableColumn id="6" xr3:uid="{9AB669D8-7573-46EC-8EF5-6CF755688462}" name="Obs Saída"/>
    <tableColumn id="8" xr3:uid="{FB473994-4806-4607-8A4E-416E4D709E2E}" name="Disponível" dataDxfId="26">
      <calculatedColumnFormula>IFERROR(_xlfn.XLOOKUP(Saida[[#This Row],[Ferramenta]],Tabela7[Nome],Tabela7[DISPONÍVEL],"Erro",0)-Saida[[#This Row],[Qtdd]],"")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4067C48-DD86-4E62-8963-013795AEA781}" name="Retorno" displayName="Retorno" ref="A2:H3" totalsRowShown="0" headerRowDxfId="24">
  <autoFilter ref="A2:H3" xr:uid="{81197E08-6C9C-4079-B15E-FBDFF3245A8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7" xr3:uid="{DE5976C6-6196-4505-BDC7-CE803060CB70}" name="tipo">
      <calculatedColumnFormula>IF(Retorno[[#This Row],[Colaborador]]="","","RETORNO")</calculatedColumnFormula>
    </tableColumn>
    <tableColumn id="1" xr3:uid="{2311A76C-6012-41D9-B386-7E7F4BD92520}" name="Colaborador"/>
    <tableColumn id="2" xr3:uid="{6688A73E-6006-4F60-B0B8-034E546D31C3}" name="Ferramenta" dataDxfId="23"/>
    <tableColumn id="12" xr3:uid="{EE179A78-9F71-497C-A812-A7391C51653A}" name="Qtdd" dataDxfId="22"/>
    <tableColumn id="3" xr3:uid="{BA8C0A86-DEE0-41F7-B492-7394EF2557E3}" name="Data Retorno" dataDxfId="21"/>
    <tableColumn id="4" xr3:uid="{6BE9E2BE-2341-4EFA-AEA3-E6A896C69967}" name="Hora Retorno" dataDxfId="20"/>
    <tableColumn id="5" xr3:uid="{186017A3-7D96-4862-B69A-02F93D24FBE9}" name="Obra"/>
    <tableColumn id="6" xr3:uid="{E30DEF03-7F59-4C64-8CDD-23047D371A1B}" name="Obs Saída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D112055-CC57-4212-8F20-C1080D422AD9}" name="Registros" displayName="Registros" ref="A2:K3" totalsRowShown="0">
  <autoFilter ref="A2:K3" xr:uid="{3D112055-CC57-4212-8F20-C1080D422AD9}"/>
  <tableColumns count="11">
    <tableColumn id="10" xr3:uid="{500DBA57-772E-42CE-BFE4-3B3D0691FD75}" name="id" dataDxfId="19">
      <calculatedColumnFormula>ROW()-2</calculatedColumnFormula>
    </tableColumn>
    <tableColumn id="9" xr3:uid="{7B922B49-0A84-44CF-ADCC-8EFEE82E703E}" name="tipo" dataDxfId="18"/>
    <tableColumn id="1" xr3:uid="{322E709E-A1D6-49E7-A37D-16477C2C9A3A}" name="Colaborador"/>
    <tableColumn id="2" xr3:uid="{4403CC24-840D-4143-8C70-342956AAB354}" name="Ferramenta"/>
    <tableColumn id="3" xr3:uid="{68D153BC-3D5E-49CA-952A-C36EA4B985A6}" name="Qtdd"/>
    <tableColumn id="4" xr3:uid="{AA3ACF12-BA8E-4175-B18E-DEDB85562D12}" name="Data" dataDxfId="17"/>
    <tableColumn id="5" xr3:uid="{D7A8C02F-4F28-4B86-8E5E-3140619DB1CC}" name="Hora" dataDxfId="16"/>
    <tableColumn id="6" xr3:uid="{E1FC981D-BB49-41AB-BBF4-4FC406F6A816}" name="Obra"/>
    <tableColumn id="7" xr3:uid="{FC660B6A-0D5C-4621-B26E-C799986CDA6E}" name="Obs"/>
    <tableColumn id="8" xr3:uid="{D41C3745-25A8-46F3-BA16-06ACB835CA99}" name="qtdd_real" dataDxfId="15">
      <calculatedColumnFormula>IF(Registros[[#This Row],[tipo]]="SAÍDA",Registros[[#This Row],[Qtdd]]*(-1),IF(Registros[[#This Row],[tipo]]="RETORNO",Registros[[#This Row],[Qtdd]],"Entrada do controle de fluxo fora do setado"))</calculatedColumnFormula>
    </tableColumn>
    <tableColumn id="11" xr3:uid="{CA1244D3-669B-47A6-A930-B58D82A44A2D}" name="Ferrametas não listada" dataDxfId="14">
      <calculatedColumnFormula>_xlfn.XLOOKUP(Registros[[#This Row],[Ferramenta]],Ferramentas[NomeFerramenta],Ferramentas[id],"Não encontrado",0)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5E75C0-77DA-4628-AB5B-0EBAC15BF6EB}" name="Ferramentas" displayName="Ferramentas" ref="A2:M3" totalsRowShown="0">
  <autoFilter ref="A2:M3" xr:uid="{7A5E75C0-77DA-4628-AB5B-0EBAC15BF6EB}"/>
  <tableColumns count="13">
    <tableColumn id="21" xr3:uid="{3413A75F-5138-4B15-8DEE-A036AFEE9179}" name="id" dataDxfId="12"/>
    <tableColumn id="29" xr3:uid="{7FC7A96B-90F3-46F3-A3EC-15778D57E782}" name="Status" dataDxfId="11"/>
    <tableColumn id="23" xr3:uid="{C8949029-15CA-4DFE-9A02-27AB006436A2}" name="NomeFerramenta" dataDxfId="10">
      <calculatedColumnFormula>_xlfn.CONCAT(Ferramentas[[#This Row],[Ferramenta]]," ",Ferramentas[[#This Row],[Descricao]]," ",Ferramentas[[#This Row],[Marca]]," ",Ferramentas[[#This Row],[Modelo/SKU]])</calculatedColumnFormula>
    </tableColumn>
    <tableColumn id="24" xr3:uid="{8F523E84-3393-4117-80E9-06627BD2534D}" name="Ferramenta" dataDxfId="9"/>
    <tableColumn id="27" xr3:uid="{8FE71C1A-AFDF-4A32-842E-924B02626F71}" name="Descricao" dataDxfId="8"/>
    <tableColumn id="25" xr3:uid="{65642C97-A72F-4A15-B188-B31317A128B0}" name="Marca" dataDxfId="7"/>
    <tableColumn id="26" xr3:uid="{251CC4F3-C886-47D2-9F0E-16F7FCAF6979}" name="Modelo/SKU" dataDxfId="6"/>
    <tableColumn id="6" xr3:uid="{6566A95B-F521-44FC-868D-562ABE695FF1}" name="Estado" dataDxfId="5"/>
    <tableColumn id="7" xr3:uid="{64965446-A74A-450D-9861-BE74EE683050}" name="qtdd" dataDxfId="4"/>
    <tableColumn id="5" xr3:uid="{A4A4F95F-B2C2-4A8D-8141-4C1D9F61AACD}" name="DataModificacao" dataDxfId="3"/>
    <tableColumn id="10" xr3:uid="{0A75AC07-40CA-4750-AA3C-642A65EFA226}" name="ValorUnt" dataDxfId="2"/>
    <tableColumn id="12" xr3:uid="{FCD1312E-1BC6-4E9F-A7A8-D684F68558B7}" name="ReferenciaEntrada" dataDxfId="1"/>
    <tableColumn id="30" xr3:uid="{4463DAA8-7C2F-4FFA-829C-D2527A476BDA}" name="Obs" dataDxfId="0"/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8BE81B-EFD2-430E-96BC-7B3505F07B2D}" name="Colaboradores" displayName="Colaboradores" ref="O2:Q3" totalsRowShown="0">
  <autoFilter ref="O2:Q3" xr:uid="{668BE81B-EFD2-430E-96BC-7B3505F07B2D}">
    <filterColumn colId="0" hiddenButton="1"/>
    <filterColumn colId="1" hiddenButton="1"/>
    <filterColumn colId="2" hiddenButton="1"/>
  </autoFilter>
  <tableColumns count="3">
    <tableColumn id="3" xr3:uid="{F9982CAF-6645-42E7-BB58-AD5CA6951A03}" name="id"/>
    <tableColumn id="1" xr3:uid="{C2FB10CF-AEF8-4D6E-9907-401EEAD984C9}" name="Colaborador"/>
    <tableColumn id="2" xr3:uid="{175F1F95-C438-4881-B105-AC937C0A3DD9}" name="Nome Completo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C589D-9075-45A3-87CB-4B01551E49D2}">
  <sheetPr codeName="Planilha7">
    <tabColor theme="7" tint="0.59999389629810485"/>
  </sheetPr>
  <dimension ref="A2:F3"/>
  <sheetViews>
    <sheetView zoomScaleNormal="100" workbookViewId="0">
      <selection activeCell="I4" sqref="I4"/>
    </sheetView>
  </sheetViews>
  <sheetFormatPr defaultColWidth="17.5703125" defaultRowHeight="15" outlineLevelCol="1" x14ac:dyDescent="0.25"/>
  <cols>
    <col min="1" max="2" width="3" customWidth="1" outlineLevel="1"/>
    <col min="3" max="3" width="60" bestFit="1" customWidth="1"/>
    <col min="4" max="4" width="10.140625" bestFit="1" customWidth="1"/>
    <col min="5" max="5" width="7" bestFit="1" customWidth="1"/>
    <col min="6" max="6" width="12.5703125" bestFit="1" customWidth="1"/>
    <col min="7" max="7" width="3.28515625" customWidth="1"/>
    <col min="8" max="8" width="63.42578125" bestFit="1" customWidth="1"/>
    <col min="9" max="9" width="17.85546875" bestFit="1" customWidth="1"/>
  </cols>
  <sheetData>
    <row r="2" spans="1:6" ht="15.75" x14ac:dyDescent="0.25">
      <c r="B2" t="s">
        <v>0</v>
      </c>
      <c r="C2" s="14" t="s">
        <v>1</v>
      </c>
      <c r="D2" s="15" t="s">
        <v>2</v>
      </c>
      <c r="E2" s="15" t="s">
        <v>37</v>
      </c>
      <c r="F2" s="15" t="s">
        <v>3</v>
      </c>
    </row>
    <row r="3" spans="1:6" ht="15.75" x14ac:dyDescent="0.25">
      <c r="A3" s="7" cm="1">
        <f t="array" ref="A3">Ferramentas[id]</f>
        <v>1</v>
      </c>
      <c r="B3" s="7">
        <f>A3</f>
        <v>1</v>
      </c>
      <c r="C3" s="14" t="str">
        <f>_xlfn.XLOOKUP(Tabela7[[#This Row],[id]],Ferramentas[id],Ferramentas[NomeFerramenta],"id não encontrado",0)</f>
        <v xml:space="preserve">Alavanca de Aço 2 m  </v>
      </c>
      <c r="D3" s="15">
        <f>_xlfn.XLOOKUP(Tabela7[[#This Row],[id]],Ferramentas[id],Ferramentas[qtdd],"id não encontrado",0)</f>
        <v>1</v>
      </c>
      <c r="E3" s="15">
        <f>SUMIF(Registros[Ferramenta],_xlfn.XLOOKUP(Tabela7[[#This Row],[id]],Ferramentas[id],Ferramentas[NomeFerramenta],"id não encontrado",0),Registros[qtdd_real])</f>
        <v>0</v>
      </c>
      <c r="F3" s="15">
        <f>Tabela7[[#This Row],[ESTOQUE]]+Tabela7[[#This Row],[SAÍDA]]</f>
        <v>1</v>
      </c>
    </row>
  </sheetData>
  <conditionalFormatting sqref="E3">
    <cfRule type="cellIs" dxfId="40" priority="3" operator="lessThan">
      <formula>0</formula>
    </cfRule>
    <cfRule type="cellIs" dxfId="39" priority="4" operator="greaterThan">
      <formula>0</formula>
    </cfRule>
  </conditionalFormatting>
  <conditionalFormatting sqref="F3">
    <cfRule type="cellIs" dxfId="38" priority="1" operator="greaterThan">
      <formula>0</formula>
    </cfRule>
    <cfRule type="cellIs" dxfId="37" priority="2" operator="lessThanOr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60" verticalDpi="36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7C80"/>
  </sheetPr>
  <dimension ref="A1:I3"/>
  <sheetViews>
    <sheetView tabSelected="1" topLeftCell="B1" workbookViewId="0">
      <selection activeCell="C11" sqref="C11"/>
    </sheetView>
  </sheetViews>
  <sheetFormatPr defaultRowHeight="15" x14ac:dyDescent="0.25"/>
  <cols>
    <col min="1" max="1" width="6.42578125" hidden="1" customWidth="1"/>
    <col min="2" max="2" width="13.28515625" bestFit="1" customWidth="1"/>
    <col min="3" max="3" width="50.5703125" bestFit="1" customWidth="1"/>
    <col min="4" max="4" width="6.5703125" bestFit="1" customWidth="1"/>
    <col min="5" max="6" width="12" bestFit="1" customWidth="1"/>
    <col min="7" max="7" width="6.5703125" bestFit="1" customWidth="1"/>
    <col min="8" max="8" width="11" bestFit="1" customWidth="1"/>
    <col min="9" max="9" width="11.5703125" bestFit="1" customWidth="1"/>
    <col min="10" max="10" width="14.85546875" bestFit="1" customWidth="1"/>
    <col min="11" max="11" width="13.7109375" bestFit="1" customWidth="1"/>
  </cols>
  <sheetData>
    <row r="1" spans="1:9" ht="26.25" x14ac:dyDescent="0.25">
      <c r="A1" s="18" t="s">
        <v>4</v>
      </c>
      <c r="B1" s="18"/>
      <c r="C1" s="18"/>
      <c r="D1" s="18"/>
      <c r="E1" s="18"/>
      <c r="F1" s="18"/>
      <c r="G1" s="18"/>
    </row>
    <row r="2" spans="1:9" s="6" customFormat="1" ht="15.75" x14ac:dyDescent="0.25">
      <c r="A2" s="6" t="s">
        <v>5</v>
      </c>
      <c r="B2" s="6" t="s">
        <v>6</v>
      </c>
      <c r="C2" s="6" t="s">
        <v>7</v>
      </c>
      <c r="D2" s="6" t="s">
        <v>8</v>
      </c>
      <c r="E2" s="6" t="s">
        <v>9</v>
      </c>
      <c r="F2" s="6" t="s">
        <v>10</v>
      </c>
      <c r="G2" s="6" t="s">
        <v>11</v>
      </c>
      <c r="H2" s="6" t="s">
        <v>12</v>
      </c>
      <c r="I2" s="6" t="s">
        <v>33</v>
      </c>
    </row>
    <row r="3" spans="1:9" x14ac:dyDescent="0.25">
      <c r="A3" t="str">
        <f>IF(Saida[[#This Row],[Colaborador]]="","","SAÍDA")</f>
        <v/>
      </c>
      <c r="C3" s="1"/>
      <c r="D3" s="7"/>
      <c r="E3" s="4"/>
      <c r="F3" s="5"/>
      <c r="I3" t="str">
        <f>IFERROR(_xlfn.XLOOKUP(Saida[[#This Row],[Ferramenta]],Tabela7[Nome],Tabela7[DISPONÍVEL],"Erro",0)-Saida[[#This Row],[Qtdd]],"")</f>
        <v/>
      </c>
    </row>
  </sheetData>
  <mergeCells count="1">
    <mergeCell ref="A1:G1"/>
  </mergeCells>
  <conditionalFormatting sqref="E3">
    <cfRule type="cellIs" dxfId="32" priority="1" operator="notEqual">
      <formula>TODAY()</formula>
    </cfRule>
  </conditionalFormatting>
  <dataValidations count="3">
    <dataValidation type="list" allowBlank="1" showInputMessage="1" showErrorMessage="1" sqref="D3" xr:uid="{0716F11C-FB7F-43E0-9426-787667F41AD5}">
      <formula1>"1,2,3,4,5,6,7,8,9,10,Mais"</formula1>
    </dataValidation>
    <dataValidation type="list" allowBlank="1" showInputMessage="1" showErrorMessage="1" sqref="C3" xr:uid="{3DE1C24D-2D39-444E-8A51-10197866628C}">
      <formula1>ListaNomeFerramentas</formula1>
    </dataValidation>
    <dataValidation type="list" allowBlank="1" showInputMessage="1" showErrorMessage="1" sqref="B3" xr:uid="{509B6CD8-312F-41F9-842D-F020F1C4341E}">
      <formula1>ListaColaboradores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E5EAE-7C31-48D4-8A3C-9BC9C3C15025}">
  <sheetPr codeName="Planilha5">
    <tabColor rgb="FF92D050"/>
  </sheetPr>
  <dimension ref="A1:H3"/>
  <sheetViews>
    <sheetView workbookViewId="0">
      <selection activeCell="E4" sqref="E4"/>
    </sheetView>
  </sheetViews>
  <sheetFormatPr defaultColWidth="13.7109375" defaultRowHeight="15" x14ac:dyDescent="0.25"/>
  <cols>
    <col min="1" max="1" width="9.5703125" bestFit="1" customWidth="1"/>
    <col min="2" max="2" width="13.28515625" bestFit="1" customWidth="1"/>
    <col min="3" max="3" width="52.5703125" bestFit="1" customWidth="1"/>
    <col min="4" max="4" width="6.5703125" bestFit="1" customWidth="1"/>
    <col min="5" max="6" width="14.7109375" bestFit="1" customWidth="1"/>
    <col min="7" max="7" width="6.5703125" bestFit="1" customWidth="1"/>
    <col min="8" max="8" width="11" bestFit="1" customWidth="1"/>
  </cols>
  <sheetData>
    <row r="1" spans="1:8" ht="26.25" x14ac:dyDescent="0.25">
      <c r="A1" s="18" t="s">
        <v>13</v>
      </c>
      <c r="B1" s="18"/>
      <c r="C1" s="18"/>
      <c r="D1" s="18"/>
      <c r="E1" s="18"/>
      <c r="F1" s="18"/>
      <c r="G1" s="18"/>
    </row>
    <row r="2" spans="1:8" s="6" customFormat="1" ht="15.75" x14ac:dyDescent="0.25">
      <c r="A2" s="6" t="s">
        <v>5</v>
      </c>
      <c r="B2" s="6" t="s">
        <v>6</v>
      </c>
      <c r="C2" s="6" t="s">
        <v>7</v>
      </c>
      <c r="D2" s="6" t="s">
        <v>8</v>
      </c>
      <c r="E2" s="6" t="s">
        <v>14</v>
      </c>
      <c r="F2" s="6" t="s">
        <v>15</v>
      </c>
      <c r="G2" s="6" t="s">
        <v>11</v>
      </c>
      <c r="H2" s="6" t="s">
        <v>12</v>
      </c>
    </row>
    <row r="3" spans="1:8" x14ac:dyDescent="0.25">
      <c r="A3" t="str">
        <f>IF(Retorno[[#This Row],[Colaborador]]="","","RETORNO")</f>
        <v/>
      </c>
      <c r="C3" s="1"/>
      <c r="D3" s="7"/>
      <c r="E3" s="4"/>
      <c r="F3" s="5"/>
    </row>
  </sheetData>
  <mergeCells count="1">
    <mergeCell ref="A1:G1"/>
  </mergeCells>
  <conditionalFormatting sqref="E3">
    <cfRule type="cellIs" dxfId="25" priority="1" operator="notEqual">
      <formula>TODAY()</formula>
    </cfRule>
  </conditionalFormatting>
  <dataValidations count="1">
    <dataValidation type="list" allowBlank="1" showInputMessage="1" showErrorMessage="1" sqref="D3" xr:uid="{44BCA69D-4980-4A68-96BE-079B2EA6B458}">
      <formula1>"1,2,3,4,5,6,7,8,9,10,Mais"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2102F6-83D2-4B9E-B713-CCBF94218C26}">
          <x14:formula1>
            <xm:f>_xlfn.ANCHORARRAY(back!$A$2)</xm:f>
          </x14:formula1>
          <xm:sqref>B3</xm:sqref>
        </x14:dataValidation>
        <x14:dataValidation type="list" allowBlank="1" showInputMessage="1" showErrorMessage="1" xr:uid="{FCA2FF1D-6E6C-49C8-8DD4-3F487D394315}">
          <x14:formula1>
            <xm:f>DadosEstoque!$C$3:$C$3</xm:f>
          </x14:formula1>
          <xm:sqref>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E3DB1-A4E4-4B32-9CF0-3FF0DFCF65E1}">
  <sheetPr codeName="Planilha4">
    <tabColor theme="8" tint="0.59999389629810485"/>
  </sheetPr>
  <dimension ref="A2:K3"/>
  <sheetViews>
    <sheetView workbookViewId="0">
      <selection activeCell="D4" sqref="D4:D100"/>
    </sheetView>
  </sheetViews>
  <sheetFormatPr defaultColWidth="9.7109375" defaultRowHeight="15" x14ac:dyDescent="0.25"/>
  <cols>
    <col min="1" max="1" width="5" bestFit="1" customWidth="1"/>
    <col min="2" max="2" width="9.5703125" bestFit="1" customWidth="1"/>
    <col min="3" max="3" width="14.140625" bestFit="1" customWidth="1"/>
    <col min="4" max="4" width="59.7109375" bestFit="1" customWidth="1"/>
    <col min="5" max="5" width="7.7109375" bestFit="1" customWidth="1"/>
    <col min="6" max="6" width="10.7109375" bestFit="1" customWidth="1"/>
    <col min="7" max="7" width="8.140625" bestFit="1" customWidth="1"/>
    <col min="8" max="8" width="7.5703125" bestFit="1" customWidth="1"/>
    <col min="9" max="9" width="37.7109375" bestFit="1" customWidth="1"/>
    <col min="10" max="10" width="40.140625" bestFit="1" customWidth="1"/>
    <col min="11" max="11" width="23.7109375" bestFit="1" customWidth="1"/>
  </cols>
  <sheetData>
    <row r="2" spans="1:11" x14ac:dyDescent="0.25">
      <c r="A2" t="s">
        <v>0</v>
      </c>
      <c r="B2" t="s">
        <v>5</v>
      </c>
      <c r="C2" t="s">
        <v>6</v>
      </c>
      <c r="D2" t="s">
        <v>7</v>
      </c>
      <c r="E2" t="s">
        <v>8</v>
      </c>
      <c r="F2" t="s">
        <v>16</v>
      </c>
      <c r="G2" t="s">
        <v>17</v>
      </c>
      <c r="H2" t="s">
        <v>11</v>
      </c>
      <c r="I2" t="s">
        <v>18</v>
      </c>
      <c r="J2" s="13" t="s">
        <v>19</v>
      </c>
      <c r="K2" s="13" t="s">
        <v>45</v>
      </c>
    </row>
    <row r="3" spans="1:11" x14ac:dyDescent="0.25">
      <c r="A3">
        <f t="shared" ref="A3" si="0">ROW()-2</f>
        <v>1</v>
      </c>
      <c r="B3" t="s">
        <v>37</v>
      </c>
      <c r="C3" t="s">
        <v>35</v>
      </c>
      <c r="D3" t="s">
        <v>39</v>
      </c>
      <c r="E3">
        <v>1</v>
      </c>
      <c r="F3" s="3">
        <v>45415</v>
      </c>
      <c r="G3" s="10">
        <v>0.34791666666666665</v>
      </c>
      <c r="J3">
        <f>IF(Registros[[#This Row],[tipo]]="SAÍDA",Registros[[#This Row],[Qtdd]]*(-1),IF(Registros[[#This Row],[tipo]]="RETORNO",Registros[[#This Row],[Qtdd]],"Entrada do controle de fluxo fora do setado"))</f>
        <v>-1</v>
      </c>
      <c r="K3" t="str">
        <f>_xlfn.XLOOKUP(Registros[[#This Row],[Ferramenta]],Ferramentas[NomeFerramenta],Ferramentas[id],"Não encontrado",0)</f>
        <v>Não encontrado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B5C6F-B71E-4B19-9DE0-3FA9E9406A86}">
  <sheetPr codeName="Planilha6">
    <tabColor theme="8" tint="0.59999389629810485"/>
  </sheetPr>
  <dimension ref="A1:A2"/>
  <sheetViews>
    <sheetView workbookViewId="0">
      <selection activeCell="A3" sqref="A3"/>
    </sheetView>
  </sheetViews>
  <sheetFormatPr defaultRowHeight="15" x14ac:dyDescent="0.25"/>
  <cols>
    <col min="1" max="1" width="10.7109375" bestFit="1" customWidth="1"/>
  </cols>
  <sheetData>
    <row r="1" spans="1:1" x14ac:dyDescent="0.25">
      <c r="A1" t="s">
        <v>44</v>
      </c>
    </row>
    <row r="2" spans="1:1" x14ac:dyDescent="0.25">
      <c r="A2" t="str" cm="1">
        <f t="array" ref="A2">_xlfn.UNIQUE(_xlfn._xlws.FILTER(Registros[Colaborador],Registros[tipo]="SAÍDA"))</f>
        <v>Gilvan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EB88E-9C60-421B-862E-A5B2C60F7D21}">
  <sheetPr codeName="Planilha2">
    <tabColor theme="8" tint="0.59999389629810485"/>
  </sheetPr>
  <dimension ref="A1:I83"/>
  <sheetViews>
    <sheetView view="pageBreakPreview" topLeftCell="A24" zoomScaleNormal="100" zoomScaleSheetLayoutView="100" zoomScalePageLayoutView="85" workbookViewId="0">
      <selection activeCell="A47" sqref="A47:D59"/>
    </sheetView>
  </sheetViews>
  <sheetFormatPr defaultRowHeight="15" x14ac:dyDescent="0.25"/>
  <cols>
    <col min="1" max="1" width="63.140625" customWidth="1"/>
    <col min="2" max="2" width="5.42578125" bestFit="1" customWidth="1"/>
    <col min="3" max="3" width="11" bestFit="1" customWidth="1"/>
    <col min="4" max="4" width="12.28515625" bestFit="1" customWidth="1"/>
    <col min="5" max="5" width="5.42578125" bestFit="1" customWidth="1"/>
    <col min="6" max="6" width="11" bestFit="1" customWidth="1"/>
    <col min="7" max="7" width="11.28515625" bestFit="1" customWidth="1"/>
    <col min="8" max="8" width="8.28515625" customWidth="1"/>
    <col min="9" max="9" width="12.28515625" bestFit="1" customWidth="1"/>
  </cols>
  <sheetData>
    <row r="1" spans="1:9" ht="15" customHeight="1" x14ac:dyDescent="0.25">
      <c r="C1" s="8"/>
      <c r="D1" s="21" t="str">
        <f ca="1">CONCATENATE("Emissão:","
",TEXT(TODAY(),"dd/mm"),"
",TEXT(TODAY(),"aaaa"))</f>
        <v>Emissão:
18/06
2024</v>
      </c>
      <c r="E1" s="8"/>
      <c r="H1" s="9"/>
    </row>
    <row r="2" spans="1:9" ht="15" customHeight="1" x14ac:dyDescent="0.25">
      <c r="C2" s="8"/>
      <c r="D2" s="22"/>
      <c r="E2" s="8"/>
      <c r="H2" s="9"/>
    </row>
    <row r="3" spans="1:9" ht="15" customHeight="1" x14ac:dyDescent="0.25">
      <c r="D3" s="22"/>
    </row>
    <row r="4" spans="1:9" ht="15" customHeight="1" x14ac:dyDescent="0.25">
      <c r="D4" s="22"/>
    </row>
    <row r="5" spans="1:9" ht="23.25" customHeight="1" x14ac:dyDescent="0.25">
      <c r="D5" s="23"/>
    </row>
    <row r="6" spans="1:9" x14ac:dyDescent="0.25">
      <c r="F6" s="3"/>
    </row>
    <row r="7" spans="1:9" ht="15" customHeight="1" x14ac:dyDescent="0.25">
      <c r="A7" s="25" t="s">
        <v>20</v>
      </c>
      <c r="B7" s="25"/>
      <c r="C7" s="25"/>
      <c r="D7" s="25"/>
      <c r="E7" s="8"/>
      <c r="F7" s="8"/>
      <c r="G7" s="8"/>
      <c r="H7" s="8"/>
      <c r="I7" s="8"/>
    </row>
    <row r="8" spans="1:9" ht="15" customHeight="1" x14ac:dyDescent="0.25">
      <c r="A8" s="25"/>
      <c r="B8" s="25"/>
      <c r="C8" s="25"/>
      <c r="D8" s="25"/>
      <c r="E8" s="8"/>
      <c r="F8" s="8"/>
      <c r="G8" s="8"/>
      <c r="H8" s="8"/>
      <c r="I8" s="8"/>
    </row>
    <row r="9" spans="1:9" ht="15" customHeight="1" x14ac:dyDescent="0.25">
      <c r="A9" s="24" t="str">
        <f>CONCATENATE("    Eu, ",_xlfn.XLOOKUP(Saída!$B$3,Colaboradores[Colaborador],Colaboradores[Nome Completo],"Erro ao encontrar o nome do Colaborador!",0),$A$47)</f>
        <v xml:space="preserve">    Eu, Erro ao encontrar o nome do Colaborador!, confirmo que recebi da LS Soluções Elétricas LTDA., a título de empréstimo, para meu uso exclusivo, conforme determinadona lei, os equipamentos especificados neste termo de responsabilidade, comprometendo-me a mantê-los em perfeito estado de conservação, ficando ciente de que:
1 – Se o equipamento for danificado ou inutilizado por emprego inadequado, mau uso, negligência ou extravio, a empresa me fornecerá novo equipamento e cobrará o valor de um equipamento da mesma marca ou equivalente ao da praça;
2 – Em caso de dano, inutilização ou extravio do equipamento deverei comunicar imediatamente ao setor competente;
3 – Terminando os serviços ou no caso de rescisão do contrato de trabalho, devolverei o equipamentocompleto e em perfeito estado de conservação, considerando-se o tempo do uso do mesmo, ao setor competente;
4 – Estando os equipamentos em minha posse, estarei sujeito a inspeções sem prévio aviso.</v>
      </c>
      <c r="B9" s="24"/>
      <c r="C9" s="24"/>
      <c r="D9" s="24"/>
      <c r="E9" s="11"/>
      <c r="F9" s="11"/>
      <c r="G9" s="11"/>
      <c r="H9" s="11"/>
      <c r="I9" s="11"/>
    </row>
    <row r="10" spans="1:9" ht="15" customHeight="1" x14ac:dyDescent="0.25">
      <c r="A10" s="24"/>
      <c r="B10" s="24"/>
      <c r="C10" s="24"/>
      <c r="D10" s="24"/>
      <c r="E10" s="11"/>
      <c r="F10" s="11"/>
      <c r="G10" s="11"/>
      <c r="H10" s="11"/>
      <c r="I10" s="11"/>
    </row>
    <row r="11" spans="1:9" ht="15" customHeight="1" x14ac:dyDescent="0.25">
      <c r="A11" s="24"/>
      <c r="B11" s="24"/>
      <c r="C11" s="24"/>
      <c r="D11" s="24"/>
      <c r="E11" s="11"/>
      <c r="F11" s="11"/>
      <c r="G11" s="11"/>
      <c r="H11" s="11"/>
      <c r="I11" s="11"/>
    </row>
    <row r="12" spans="1:9" ht="15" customHeight="1" x14ac:dyDescent="0.25">
      <c r="A12" s="24"/>
      <c r="B12" s="24"/>
      <c r="C12" s="24"/>
      <c r="D12" s="24"/>
      <c r="E12" s="11"/>
      <c r="F12" s="11"/>
      <c r="G12" s="11"/>
      <c r="H12" s="11"/>
      <c r="I12" s="11"/>
    </row>
    <row r="13" spans="1:9" ht="15" customHeight="1" x14ac:dyDescent="0.25">
      <c r="A13" s="24"/>
      <c r="B13" s="24"/>
      <c r="C13" s="24"/>
      <c r="D13" s="24"/>
      <c r="E13" s="11"/>
      <c r="F13" s="11"/>
      <c r="G13" s="11"/>
      <c r="H13" s="11"/>
      <c r="I13" s="11"/>
    </row>
    <row r="14" spans="1:9" ht="15" customHeight="1" x14ac:dyDescent="0.25">
      <c r="A14" s="24"/>
      <c r="B14" s="24"/>
      <c r="C14" s="24"/>
      <c r="D14" s="24"/>
      <c r="E14" s="11"/>
      <c r="F14" s="11"/>
      <c r="G14" s="11"/>
      <c r="H14" s="11"/>
      <c r="I14" s="11"/>
    </row>
    <row r="15" spans="1:9" ht="15" customHeight="1" x14ac:dyDescent="0.25">
      <c r="A15" s="24"/>
      <c r="B15" s="24"/>
      <c r="C15" s="24"/>
      <c r="D15" s="24"/>
      <c r="E15" s="11"/>
      <c r="F15" s="11"/>
      <c r="G15" s="11"/>
      <c r="H15" s="11"/>
      <c r="I15" s="11"/>
    </row>
    <row r="16" spans="1:9" ht="15" customHeight="1" x14ac:dyDescent="0.25">
      <c r="A16" s="24"/>
      <c r="B16" s="24"/>
      <c r="C16" s="24"/>
      <c r="D16" s="24"/>
      <c r="E16" s="11"/>
      <c r="F16" s="11"/>
      <c r="G16" s="11"/>
      <c r="H16" s="11"/>
      <c r="I16" s="11"/>
    </row>
    <row r="17" spans="1:9" ht="15" customHeight="1" x14ac:dyDescent="0.25">
      <c r="A17" s="24"/>
      <c r="B17" s="24"/>
      <c r="C17" s="24"/>
      <c r="D17" s="24"/>
      <c r="E17" s="11"/>
      <c r="F17" s="11"/>
      <c r="G17" s="11"/>
      <c r="H17" s="11"/>
      <c r="I17" s="11"/>
    </row>
    <row r="18" spans="1:9" ht="15" customHeight="1" x14ac:dyDescent="0.25">
      <c r="A18" s="24"/>
      <c r="B18" s="24"/>
      <c r="C18" s="24"/>
      <c r="D18" s="24"/>
      <c r="E18" s="11"/>
      <c r="F18" s="11"/>
      <c r="G18" s="11"/>
      <c r="H18" s="11"/>
      <c r="I18" s="11"/>
    </row>
    <row r="19" spans="1:9" ht="15" customHeight="1" x14ac:dyDescent="0.25">
      <c r="A19" s="24"/>
      <c r="B19" s="24"/>
      <c r="C19" s="24"/>
      <c r="D19" s="24"/>
      <c r="E19" s="11"/>
      <c r="F19" s="11"/>
      <c r="G19" s="11"/>
      <c r="H19" s="11"/>
      <c r="I19" s="11"/>
    </row>
    <row r="20" spans="1:9" ht="15" customHeight="1" x14ac:dyDescent="0.25">
      <c r="A20" s="24"/>
      <c r="B20" s="24"/>
      <c r="C20" s="24"/>
      <c r="D20" s="24"/>
      <c r="E20" s="11"/>
      <c r="F20" s="11"/>
      <c r="G20" s="11"/>
      <c r="H20" s="11"/>
      <c r="I20" s="11"/>
    </row>
    <row r="21" spans="1:9" ht="15" customHeight="1" x14ac:dyDescent="0.25">
      <c r="A21" s="24"/>
      <c r="B21" s="24"/>
      <c r="C21" s="24"/>
      <c r="D21" s="24"/>
      <c r="E21" s="11"/>
      <c r="F21" s="11"/>
      <c r="G21" s="11"/>
      <c r="H21" s="11"/>
      <c r="I21" s="11"/>
    </row>
    <row r="22" spans="1:9" ht="15" customHeight="1" x14ac:dyDescent="0.25">
      <c r="A22" s="24"/>
      <c r="B22" s="24"/>
      <c r="C22" s="24"/>
      <c r="D22" s="24"/>
      <c r="E22" s="11"/>
      <c r="F22" s="11"/>
      <c r="G22" s="11"/>
      <c r="H22" s="11"/>
      <c r="I22" s="11"/>
    </row>
    <row r="23" spans="1:9" ht="15" customHeight="1" x14ac:dyDescent="0.25">
      <c r="A23" s="24"/>
      <c r="B23" s="24"/>
      <c r="C23" s="24"/>
      <c r="D23" s="24"/>
      <c r="E23" s="11"/>
      <c r="F23" s="11"/>
      <c r="G23" s="11"/>
      <c r="H23" s="11"/>
      <c r="I23" s="11"/>
    </row>
    <row r="24" spans="1:9" ht="15" customHeight="1" x14ac:dyDescent="0.25">
      <c r="A24" s="24"/>
      <c r="B24" s="24"/>
      <c r="C24" s="24"/>
      <c r="D24" s="24"/>
      <c r="E24" s="11"/>
      <c r="F24" s="11"/>
      <c r="G24" s="11"/>
      <c r="H24" s="11"/>
      <c r="I24" s="11"/>
    </row>
    <row r="25" spans="1:9" ht="15" customHeight="1" x14ac:dyDescent="0.25">
      <c r="A25" s="25" t="s">
        <v>21</v>
      </c>
      <c r="B25" s="25"/>
      <c r="C25" s="25"/>
      <c r="D25" s="25"/>
      <c r="E25" s="8"/>
      <c r="F25" s="8"/>
      <c r="G25" s="8"/>
      <c r="H25" s="8"/>
      <c r="I25" s="8"/>
    </row>
    <row r="26" spans="1:9" ht="15" customHeight="1" x14ac:dyDescent="0.25">
      <c r="A26" s="25"/>
      <c r="B26" s="25"/>
      <c r="C26" s="25"/>
      <c r="D26" s="25"/>
      <c r="E26" s="8"/>
      <c r="F26" s="8"/>
      <c r="G26" s="8"/>
      <c r="H26" s="8"/>
      <c r="I26" s="8"/>
    </row>
    <row r="27" spans="1:9" ht="15.75" x14ac:dyDescent="0.25">
      <c r="A27" s="12" t="s">
        <v>7</v>
      </c>
      <c r="B27" s="12" t="s">
        <v>8</v>
      </c>
      <c r="C27" s="12" t="s">
        <v>9</v>
      </c>
      <c r="D27" s="12" t="s">
        <v>10</v>
      </c>
    </row>
    <row r="28" spans="1:9" x14ac:dyDescent="0.25">
      <c r="A28" cm="1">
        <f t="array" ref="A28:D28">Saida[[Ferramenta]:[Hora Saída]]</f>
        <v>0</v>
      </c>
      <c r="B28">
        <v>0</v>
      </c>
      <c r="C28" s="3">
        <v>0</v>
      </c>
      <c r="D28" s="5">
        <v>0</v>
      </c>
      <c r="E28" s="7"/>
      <c r="F28" s="3"/>
      <c r="G28" s="10"/>
    </row>
    <row r="29" spans="1:9" x14ac:dyDescent="0.25">
      <c r="C29" s="3"/>
      <c r="D29" s="5"/>
    </row>
    <row r="30" spans="1:9" x14ac:dyDescent="0.25">
      <c r="C30" s="3"/>
      <c r="D30" s="5"/>
    </row>
    <row r="31" spans="1:9" x14ac:dyDescent="0.25">
      <c r="C31" s="3"/>
      <c r="D31" s="5"/>
    </row>
    <row r="32" spans="1:9" x14ac:dyDescent="0.25">
      <c r="C32" s="3"/>
      <c r="D32" s="5"/>
    </row>
    <row r="33" spans="1:4" x14ac:dyDescent="0.25">
      <c r="C33" s="3"/>
      <c r="D33" s="5"/>
    </row>
    <row r="34" spans="1:4" x14ac:dyDescent="0.25">
      <c r="C34" s="3"/>
      <c r="D34" s="5"/>
    </row>
    <row r="35" spans="1:4" x14ac:dyDescent="0.25">
      <c r="C35" s="3"/>
      <c r="D35" s="5"/>
    </row>
    <row r="36" spans="1:4" x14ac:dyDescent="0.25">
      <c r="C36" s="3"/>
      <c r="D36" s="5"/>
    </row>
    <row r="37" spans="1:4" x14ac:dyDescent="0.25">
      <c r="C37" s="3"/>
      <c r="D37" s="5"/>
    </row>
    <row r="38" spans="1:4" x14ac:dyDescent="0.25">
      <c r="C38" s="3"/>
      <c r="D38" s="5"/>
    </row>
    <row r="39" spans="1:4" x14ac:dyDescent="0.25">
      <c r="C39" s="3"/>
      <c r="D39" s="5"/>
    </row>
    <row r="40" spans="1:4" x14ac:dyDescent="0.25">
      <c r="C40" s="3"/>
      <c r="D40" s="5"/>
    </row>
    <row r="41" spans="1:4" x14ac:dyDescent="0.25">
      <c r="C41" s="3"/>
      <c r="D41" s="5"/>
    </row>
    <row r="42" spans="1:4" x14ac:dyDescent="0.25">
      <c r="C42" s="3"/>
      <c r="D42" s="5"/>
    </row>
    <row r="43" spans="1:4" x14ac:dyDescent="0.25">
      <c r="C43" s="3"/>
      <c r="D43" s="5"/>
    </row>
    <row r="44" spans="1:4" x14ac:dyDescent="0.25">
      <c r="C44" s="3"/>
      <c r="D44" s="5"/>
    </row>
    <row r="45" spans="1:4" x14ac:dyDescent="0.25">
      <c r="A45" s="26" t="s">
        <v>22</v>
      </c>
      <c r="B45" s="26"/>
      <c r="C45" s="26"/>
      <c r="D45" s="26"/>
    </row>
    <row r="46" spans="1:4" ht="29.25" customHeight="1" x14ac:dyDescent="0.3">
      <c r="A46" s="20" t="str">
        <f>_xlfn.XLOOKUP(Saída!$B$3,Colaboradores[Colaborador],Colaboradores[Nome Completo],"Erro ao encontrar nome do colaborador!",0)</f>
        <v>Erro ao encontrar nome do colaborador!</v>
      </c>
      <c r="B46" s="20"/>
      <c r="C46" s="20"/>
      <c r="D46" s="20"/>
    </row>
    <row r="47" spans="1:4" ht="15" customHeight="1" x14ac:dyDescent="0.25">
      <c r="A47" s="19" t="s">
        <v>43</v>
      </c>
      <c r="B47" s="19"/>
      <c r="C47" s="19"/>
      <c r="D47" s="19"/>
    </row>
    <row r="48" spans="1:4" x14ac:dyDescent="0.25">
      <c r="A48" s="19"/>
      <c r="B48" s="19"/>
      <c r="C48" s="19"/>
      <c r="D48" s="19"/>
    </row>
    <row r="49" spans="1:4" x14ac:dyDescent="0.25">
      <c r="A49" s="19"/>
      <c r="B49" s="19"/>
      <c r="C49" s="19"/>
      <c r="D49" s="19"/>
    </row>
    <row r="50" spans="1:4" x14ac:dyDescent="0.25">
      <c r="A50" s="19"/>
      <c r="B50" s="19"/>
      <c r="C50" s="19"/>
      <c r="D50" s="19"/>
    </row>
    <row r="51" spans="1:4" x14ac:dyDescent="0.25">
      <c r="A51" s="19"/>
      <c r="B51" s="19"/>
      <c r="C51" s="19"/>
      <c r="D51" s="19"/>
    </row>
    <row r="52" spans="1:4" x14ac:dyDescent="0.25">
      <c r="A52" s="19"/>
      <c r="B52" s="19"/>
      <c r="C52" s="19"/>
      <c r="D52" s="19"/>
    </row>
    <row r="53" spans="1:4" x14ac:dyDescent="0.25">
      <c r="A53" s="19"/>
      <c r="B53" s="19"/>
      <c r="C53" s="19"/>
      <c r="D53" s="19"/>
    </row>
    <row r="54" spans="1:4" x14ac:dyDescent="0.25">
      <c r="A54" s="19"/>
      <c r="B54" s="19"/>
      <c r="C54" s="19"/>
      <c r="D54" s="19"/>
    </row>
    <row r="55" spans="1:4" x14ac:dyDescent="0.25">
      <c r="A55" s="19"/>
      <c r="B55" s="19"/>
      <c r="C55" s="19"/>
      <c r="D55" s="19"/>
    </row>
    <row r="56" spans="1:4" x14ac:dyDescent="0.25">
      <c r="A56" s="19"/>
      <c r="B56" s="19"/>
      <c r="C56" s="19"/>
      <c r="D56" s="19"/>
    </row>
    <row r="57" spans="1:4" x14ac:dyDescent="0.25">
      <c r="A57" s="19"/>
      <c r="B57" s="19"/>
      <c r="C57" s="19"/>
      <c r="D57" s="19"/>
    </row>
    <row r="58" spans="1:4" x14ac:dyDescent="0.25">
      <c r="A58" s="19"/>
      <c r="B58" s="19"/>
      <c r="C58" s="19"/>
      <c r="D58" s="19"/>
    </row>
    <row r="59" spans="1:4" x14ac:dyDescent="0.25">
      <c r="A59" s="19"/>
      <c r="B59" s="19"/>
      <c r="C59" s="19"/>
      <c r="D59" s="19"/>
    </row>
    <row r="60" spans="1:4" x14ac:dyDescent="0.25">
      <c r="A60" s="17"/>
      <c r="B60" s="17"/>
      <c r="C60" s="17"/>
      <c r="D60" s="17"/>
    </row>
    <row r="61" spans="1:4" x14ac:dyDescent="0.25">
      <c r="A61" s="17"/>
      <c r="B61" s="17"/>
      <c r="C61" s="17"/>
      <c r="D61" s="17"/>
    </row>
    <row r="62" spans="1:4" x14ac:dyDescent="0.25">
      <c r="A62" s="17"/>
      <c r="B62" s="17"/>
      <c r="C62" s="17"/>
      <c r="D62" s="17"/>
    </row>
    <row r="63" spans="1:4" x14ac:dyDescent="0.25">
      <c r="A63" s="17"/>
      <c r="B63" s="17"/>
      <c r="C63" s="17"/>
      <c r="D63" s="17"/>
    </row>
    <row r="64" spans="1:4" x14ac:dyDescent="0.25">
      <c r="A64" s="17"/>
      <c r="B64" s="17"/>
      <c r="C64" s="17"/>
      <c r="D64" s="17"/>
    </row>
    <row r="65" spans="1:4" x14ac:dyDescent="0.25">
      <c r="A65" s="17"/>
      <c r="B65" s="17"/>
      <c r="C65" s="17"/>
      <c r="D65" s="17"/>
    </row>
    <row r="66" spans="1:4" x14ac:dyDescent="0.25">
      <c r="A66" s="17"/>
      <c r="B66" s="17"/>
      <c r="C66" s="17"/>
      <c r="D66" s="17"/>
    </row>
    <row r="67" spans="1:4" x14ac:dyDescent="0.25">
      <c r="A67" s="17"/>
      <c r="B67" s="17"/>
      <c r="C67" s="17"/>
      <c r="D67" s="17"/>
    </row>
    <row r="68" spans="1:4" x14ac:dyDescent="0.25">
      <c r="A68" s="17"/>
      <c r="B68" s="17"/>
      <c r="C68" s="17"/>
      <c r="D68" s="17"/>
    </row>
    <row r="69" spans="1:4" x14ac:dyDescent="0.25">
      <c r="A69" s="17"/>
      <c r="B69" s="17"/>
      <c r="C69" s="17"/>
      <c r="D69" s="17"/>
    </row>
    <row r="70" spans="1:4" x14ac:dyDescent="0.25">
      <c r="A70" s="17"/>
      <c r="B70" s="17"/>
      <c r="C70" s="17"/>
      <c r="D70" s="17"/>
    </row>
    <row r="71" spans="1:4" x14ac:dyDescent="0.25">
      <c r="A71" s="17"/>
      <c r="B71" s="17"/>
      <c r="C71" s="17"/>
      <c r="D71" s="17"/>
    </row>
    <row r="72" spans="1:4" x14ac:dyDescent="0.25">
      <c r="A72" s="17"/>
      <c r="B72" s="17"/>
      <c r="C72" s="17"/>
      <c r="D72" s="17"/>
    </row>
    <row r="73" spans="1:4" x14ac:dyDescent="0.25">
      <c r="A73" s="17"/>
      <c r="B73" s="17"/>
      <c r="C73" s="17"/>
      <c r="D73" s="17"/>
    </row>
    <row r="74" spans="1:4" x14ac:dyDescent="0.25">
      <c r="A74" s="17"/>
      <c r="B74" s="17"/>
      <c r="C74" s="17"/>
      <c r="D74" s="17"/>
    </row>
    <row r="75" spans="1:4" x14ac:dyDescent="0.25">
      <c r="A75" s="17"/>
      <c r="B75" s="17"/>
      <c r="C75" s="17"/>
      <c r="D75" s="17"/>
    </row>
    <row r="76" spans="1:4" x14ac:dyDescent="0.25">
      <c r="A76" s="17"/>
      <c r="B76" s="17"/>
      <c r="C76" s="17"/>
      <c r="D76" s="17"/>
    </row>
    <row r="77" spans="1:4" x14ac:dyDescent="0.25">
      <c r="A77" s="17"/>
      <c r="B77" s="17"/>
      <c r="C77" s="17"/>
      <c r="D77" s="17"/>
    </row>
    <row r="78" spans="1:4" x14ac:dyDescent="0.25">
      <c r="A78" s="17"/>
      <c r="B78" s="17"/>
      <c r="C78" s="17"/>
      <c r="D78" s="17"/>
    </row>
    <row r="79" spans="1:4" x14ac:dyDescent="0.25">
      <c r="A79" s="17"/>
      <c r="B79" s="17"/>
      <c r="C79" s="17"/>
      <c r="D79" s="17"/>
    </row>
    <row r="80" spans="1:4" x14ac:dyDescent="0.25">
      <c r="A80" s="17"/>
      <c r="B80" s="17"/>
      <c r="C80" s="17"/>
      <c r="D80" s="17"/>
    </row>
    <row r="81" spans="1:4" x14ac:dyDescent="0.25">
      <c r="A81" s="17"/>
      <c r="B81" s="17"/>
      <c r="C81" s="17"/>
      <c r="D81" s="17"/>
    </row>
    <row r="82" spans="1:4" x14ac:dyDescent="0.25">
      <c r="A82" s="17"/>
      <c r="B82" s="17"/>
      <c r="C82" s="17"/>
      <c r="D82" s="17"/>
    </row>
    <row r="83" spans="1:4" x14ac:dyDescent="0.25">
      <c r="A83" s="17"/>
      <c r="B83" s="17"/>
      <c r="C83" s="17"/>
      <c r="D83" s="17"/>
    </row>
  </sheetData>
  <mergeCells count="7">
    <mergeCell ref="A47:D59"/>
    <mergeCell ref="A46:D46"/>
    <mergeCell ref="D1:D5"/>
    <mergeCell ref="A9:D24"/>
    <mergeCell ref="A7:D8"/>
    <mergeCell ref="A25:D26"/>
    <mergeCell ref="A45:D45"/>
  </mergeCells>
  <pageMargins left="0.45343137254901961" right="0.46130952380952384" top="1.2202380952380953" bottom="0.88235294117647056" header="0.3" footer="0.3"/>
  <pageSetup paperSize="9" orientation="portrait" horizontalDpi="360" verticalDpi="360" r:id="rId1"/>
  <headerFooter>
    <oddHeader>&amp;L
&amp;R&amp;G</oddHead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86DE2-D50E-447C-99AD-83CB3FA166F7}">
  <sheetPr codeName="Planilha3">
    <tabColor rgb="FFFF0000"/>
  </sheetPr>
  <dimension ref="A2:Q4"/>
  <sheetViews>
    <sheetView topLeftCell="E1" zoomScaleNormal="100" workbookViewId="0">
      <selection activeCell="Q4" sqref="Q4"/>
    </sheetView>
  </sheetViews>
  <sheetFormatPr defaultColWidth="3.140625" defaultRowHeight="15" outlineLevelCol="1" x14ac:dyDescent="0.25"/>
  <cols>
    <col min="1" max="1" width="5" bestFit="1" customWidth="1"/>
    <col min="2" max="2" width="10.28515625" customWidth="1" outlineLevel="1"/>
    <col min="3" max="3" width="59.7109375" bestFit="1" customWidth="1"/>
    <col min="4" max="4" width="25" bestFit="1" customWidth="1" outlineLevel="1"/>
    <col min="5" max="5" width="31" customWidth="1" outlineLevel="1"/>
    <col min="6" max="6" width="14.140625" customWidth="1" outlineLevel="1"/>
    <col min="7" max="7" width="14.7109375" customWidth="1" outlineLevel="1"/>
    <col min="8" max="8" width="9.85546875" bestFit="1" customWidth="1"/>
    <col min="9" max="9" width="7.42578125" bestFit="1" customWidth="1"/>
    <col min="10" max="10" width="18.28515625" bestFit="1" customWidth="1"/>
    <col min="11" max="11" width="11.28515625" bestFit="1" customWidth="1"/>
    <col min="12" max="12" width="19.85546875" bestFit="1" customWidth="1"/>
    <col min="13" max="13" width="12.7109375" bestFit="1" customWidth="1"/>
    <col min="15" max="15" width="2.7109375" bestFit="1" customWidth="1"/>
    <col min="16" max="16" width="11.85546875" bestFit="1" customWidth="1"/>
    <col min="17" max="17" width="39.28515625" bestFit="1" customWidth="1"/>
  </cols>
  <sheetData>
    <row r="2" spans="1:17" x14ac:dyDescent="0.25">
      <c r="A2" t="s">
        <v>0</v>
      </c>
      <c r="B2" t="s">
        <v>23</v>
      </c>
      <c r="C2" t="s">
        <v>24</v>
      </c>
      <c r="D2" t="s">
        <v>7</v>
      </c>
      <c r="E2" t="s">
        <v>25</v>
      </c>
      <c r="F2" t="s">
        <v>26</v>
      </c>
      <c r="G2" t="s">
        <v>27</v>
      </c>
      <c r="H2" t="s">
        <v>28</v>
      </c>
      <c r="I2" t="s">
        <v>30</v>
      </c>
      <c r="J2" t="s">
        <v>42</v>
      </c>
      <c r="K2" t="s">
        <v>29</v>
      </c>
      <c r="L2" t="s">
        <v>31</v>
      </c>
      <c r="M2" t="s">
        <v>18</v>
      </c>
      <c r="O2" t="s">
        <v>0</v>
      </c>
      <c r="P2" t="s">
        <v>6</v>
      </c>
      <c r="Q2" t="s">
        <v>32</v>
      </c>
    </row>
    <row r="3" spans="1:17" x14ac:dyDescent="0.25">
      <c r="A3" s="7">
        <v>1</v>
      </c>
      <c r="B3" s="1" t="s">
        <v>34</v>
      </c>
      <c r="C3" t="str">
        <f>_xlfn.CONCAT(Ferramentas[[#This Row],[Ferramenta]]," ",Ferramentas[[#This Row],[Descricao]]," ",Ferramentas[[#This Row],[Marca]]," ",Ferramentas[[#This Row],[Modelo/SKU]])</f>
        <v xml:space="preserve">Alavanca de Aço 2 m  </v>
      </c>
      <c r="D3" s="1" t="s">
        <v>40</v>
      </c>
      <c r="E3" s="1" t="s">
        <v>41</v>
      </c>
      <c r="F3" s="1"/>
      <c r="G3" s="1"/>
      <c r="H3" s="1" t="s">
        <v>36</v>
      </c>
      <c r="I3" s="7">
        <v>1</v>
      </c>
      <c r="J3" s="3"/>
      <c r="K3" s="16"/>
      <c r="L3" s="1"/>
      <c r="M3" s="1"/>
      <c r="N3" s="2"/>
      <c r="O3">
        <v>1</v>
      </c>
      <c r="P3" t="s">
        <v>38</v>
      </c>
      <c r="Q3" t="s">
        <v>38</v>
      </c>
    </row>
    <row r="4" spans="1:17" x14ac:dyDescent="0.25">
      <c r="N4" s="2"/>
    </row>
  </sheetData>
  <phoneticPr fontId="7" type="noConversion"/>
  <conditionalFormatting sqref="C3">
    <cfRule type="duplicateValues" dxfId="13" priority="9"/>
  </conditionalFormatting>
  <dataValidations count="2">
    <dataValidation type="list" allowBlank="1" showInputMessage="1" showErrorMessage="1" sqref="H3" xr:uid="{041C5FD6-5D14-4B15-A51E-8A116BF55C35}">
      <formula1>"Novo,Usado,Ajustado,Seminovo"</formula1>
    </dataValidation>
    <dataValidation type="list" allowBlank="1" showInputMessage="1" showErrorMessage="1" sqref="B3" xr:uid="{11B1D9E4-7AF9-414F-9AC0-F652E67306AB}">
      <formula1>"Disponível,A verificar,Erro"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4</vt:i4>
      </vt:variant>
    </vt:vector>
  </HeadingPairs>
  <TitlesOfParts>
    <vt:vector size="11" baseType="lpstr">
      <vt:lpstr>Resumo</vt:lpstr>
      <vt:lpstr>Saída</vt:lpstr>
      <vt:lpstr>Retorno</vt:lpstr>
      <vt:lpstr>Registros</vt:lpstr>
      <vt:lpstr>back</vt:lpstr>
      <vt:lpstr>Termo</vt:lpstr>
      <vt:lpstr>DadosEstoque</vt:lpstr>
      <vt:lpstr>DadosEstoque!Area_de_impressao</vt:lpstr>
      <vt:lpstr>Termo!Area_de_impressao</vt:lpstr>
      <vt:lpstr>ListaColaboradores</vt:lpstr>
      <vt:lpstr>ListaNomeFerramentas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Thayroni Lima LS</dc:creator>
  <cp:keywords/>
  <dc:description/>
  <cp:lastModifiedBy>LS Soluções Elétricas</cp:lastModifiedBy>
  <cp:revision/>
  <cp:lastPrinted>2024-05-28T12:45:00Z</cp:lastPrinted>
  <dcterms:created xsi:type="dcterms:W3CDTF">2015-06-05T18:17:20Z</dcterms:created>
  <dcterms:modified xsi:type="dcterms:W3CDTF">2024-06-18T10:37:06Z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2024-03-27T12:35:53Z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b97c14d0-30fc-48dd-ba9e-5de93f4ae5fa</vt:lpwstr>
  </property>
  <property fmtid="{D5CDD505-2E9C-101B-9397-08002B2CF9AE}" pid="7" name="MSIP_Label_defa4170-0d19-0005-0004-bc88714345d2_ActionId">
    <vt:lpwstr>1461db72-26a3-467b-9a6f-da7bc926226e</vt:lpwstr>
  </property>
  <property fmtid="{D5CDD505-2E9C-101B-9397-08002B2CF9AE}" pid="8" name="MSIP_Label_defa4170-0d19-0005-0004-bc88714345d2_ContentBits">
    <vt:lpwstr>0</vt:lpwstr>
  </property>
</Properties>
</file>